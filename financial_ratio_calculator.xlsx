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yya\OneDrive\Desktop\"/>
    </mc:Choice>
  </mc:AlternateContent>
  <xr:revisionPtr revIDLastSave="0" documentId="13_ncr:1_{19DD57EF-1DF0-4F4B-B278-5077247A704B}" xr6:coauthVersionLast="47" xr6:coauthVersionMax="47" xr10:uidLastSave="{00000000-0000-0000-0000-000000000000}"/>
  <bookViews>
    <workbookView xWindow="-110" yWindow="-110" windowWidth="19420" windowHeight="10300" tabRatio="500" firstSheet="1" activeTab="5" xr2:uid="{00000000-000D-0000-FFFF-FFFF00000000}"/>
  </bookViews>
  <sheets>
    <sheet name="Dashboard" sheetId="1" r:id="rId1"/>
    <sheet name="Master" sheetId="2" r:id="rId2"/>
    <sheet name="Liquidity" sheetId="3" r:id="rId3"/>
    <sheet name="Profitability" sheetId="4" r:id="rId4"/>
    <sheet name="Efficiency" sheetId="5" r:id="rId5"/>
    <sheet name="Leverage" sheetId="6" r:id="rId6"/>
    <sheet name="Investor" sheetId="7" r:id="rId7"/>
  </sheets>
  <definedNames>
    <definedName name="AP">Master!$B$16</definedName>
    <definedName name="AR">Master!$B$8</definedName>
    <definedName name="Capex">Master!$F$10</definedName>
    <definedName name="Cash_Bank">Master!$B$6</definedName>
    <definedName name="CFO">Master!$F$6</definedName>
    <definedName name="COGS">Master!$F$14</definedName>
    <definedName name="Dividends">Master!$F$22</definedName>
    <definedName name="EBIT">Master!$F$17</definedName>
    <definedName name="Gross_Profit">Master!$F$15</definedName>
    <definedName name="Interest_Expense">Master!$F$18</definedName>
    <definedName name="Inventory">Master!$B$9</definedName>
    <definedName name="LT_Debt">Master!$B$20</definedName>
    <definedName name="Market_Price">Master!$B$29</definedName>
    <definedName name="Net_Profit">Master!$F$21</definedName>
    <definedName name="Net_Sales">Master!$F$13</definedName>
    <definedName name="Shares_Out">Master!$B$28</definedName>
    <definedName name="ST_Investments">Master!$B$7</definedName>
    <definedName name="Total_Assets">Master!$B$15</definedName>
    <definedName name="Total_Current_Assets">Master!$B$11</definedName>
    <definedName name="Total_Current_Liabilities">Master!$B$19</definedName>
    <definedName name="Total_Equity">Master!$B$26</definedName>
    <definedName name="Total_Liabilities">Master!$B$23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7" i="1"/>
  <c r="F3" i="1"/>
  <c r="B3" i="1"/>
  <c r="E7" i="7"/>
  <c r="C6" i="7"/>
  <c r="E6" i="7" s="1"/>
  <c r="C7" i="5"/>
  <c r="E7" i="5" s="1"/>
  <c r="C6" i="5"/>
  <c r="E6" i="5" s="1"/>
  <c r="C5" i="5"/>
  <c r="E5" i="5" s="1"/>
  <c r="C4" i="5"/>
  <c r="E4" i="5" s="1"/>
  <c r="F9" i="2"/>
  <c r="F15" i="2"/>
  <c r="C4" i="4" s="1"/>
  <c r="E4" i="4" s="1"/>
  <c r="B26" i="2"/>
  <c r="C7" i="7" s="1"/>
  <c r="B22" i="2"/>
  <c r="B19" i="2"/>
  <c r="C5" i="3" s="1"/>
  <c r="E5" i="3" s="1"/>
  <c r="B14" i="2"/>
  <c r="B11" i="2"/>
  <c r="B15" i="2" s="1"/>
  <c r="C8" i="5" s="1"/>
  <c r="E8" i="5" s="1"/>
  <c r="B4" i="1"/>
  <c r="F17" i="2" l="1"/>
  <c r="C9" i="1"/>
  <c r="B9" i="1"/>
  <c r="D9" i="1"/>
  <c r="C6" i="3"/>
  <c r="E6" i="3" s="1"/>
  <c r="C7" i="6"/>
  <c r="E7" i="6" s="1"/>
  <c r="B23" i="2"/>
  <c r="C4" i="3"/>
  <c r="E4" i="3" s="1"/>
  <c r="F19" i="2" l="1"/>
  <c r="F21" i="2" s="1"/>
  <c r="C6" i="4"/>
  <c r="E6" i="4" s="1"/>
  <c r="C6" i="6"/>
  <c r="E6" i="6" s="1"/>
  <c r="E9" i="1"/>
  <c r="B7" i="1"/>
  <c r="D7" i="1"/>
  <c r="C7" i="1"/>
  <c r="C4" i="6"/>
  <c r="E4" i="6" s="1"/>
  <c r="B27" i="2"/>
  <c r="C5" i="6"/>
  <c r="E5" i="6" s="1"/>
  <c r="F9" i="1"/>
  <c r="C7" i="4" l="1"/>
  <c r="E7" i="4" s="1"/>
  <c r="C5" i="7"/>
  <c r="E5" i="7" s="1"/>
  <c r="C5" i="4"/>
  <c r="E5" i="4" s="1"/>
  <c r="C8" i="4"/>
  <c r="E8" i="4" s="1"/>
  <c r="C8" i="7"/>
  <c r="E8" i="7" s="1"/>
  <c r="C4" i="7"/>
  <c r="E4" i="7" s="1"/>
  <c r="E7" i="1"/>
  <c r="F7" i="1" s="1"/>
  <c r="D10" i="1"/>
  <c r="C10" i="1"/>
  <c r="B10" i="1"/>
  <c r="D8" i="1" l="1"/>
  <c r="D12" i="1" s="1"/>
  <c r="B8" i="1"/>
  <c r="B12" i="1" s="1"/>
  <c r="C11" i="1"/>
  <c r="B11" i="1"/>
  <c r="D11" i="1"/>
  <c r="C8" i="1"/>
  <c r="C12" i="1" s="1"/>
  <c r="E10" i="1"/>
  <c r="F10" i="1" s="1"/>
  <c r="E11" i="1" l="1"/>
  <c r="F11" i="1" s="1"/>
  <c r="E8" i="1"/>
  <c r="F8" i="1" l="1"/>
  <c r="E12" i="1"/>
</calcChain>
</file>

<file path=xl/sharedStrings.xml><?xml version="1.0" encoding="utf-8"?>
<sst xmlns="http://schemas.openxmlformats.org/spreadsheetml/2006/main" count="165" uniqueCount="139">
  <si>
    <t>FINANCIAL RATIO DASHBOARD</t>
  </si>
  <si>
    <t>Company</t>
  </si>
  <si>
    <t>Period</t>
  </si>
  <si>
    <t>Category</t>
  </si>
  <si>
    <t>Good</t>
  </si>
  <si>
    <t>Average</t>
  </si>
  <si>
    <t>Weak</t>
  </si>
  <si>
    <t>Total ratios</t>
  </si>
  <si>
    <t>Category verdict</t>
  </si>
  <si>
    <t>Liquidity</t>
  </si>
  <si>
    <t>Profitability</t>
  </si>
  <si>
    <t>Efficiency</t>
  </si>
  <si>
    <t>Leverage</t>
  </si>
  <si>
    <t>Investor (scored)</t>
  </si>
  <si>
    <t>TOTAL</t>
  </si>
  <si>
    <t>MASTER INPUT SHEET</t>
  </si>
  <si>
    <t>Company Name</t>
  </si>
  <si>
    <t>BALANCE SHEET</t>
  </si>
  <si>
    <t>Cash &amp; Bank</t>
  </si>
  <si>
    <t>Short-term Investments</t>
  </si>
  <si>
    <t>Accounts Receivable (Trade Debts)</t>
  </si>
  <si>
    <t>Inventory (Stock-in-Trade)</t>
  </si>
  <si>
    <t>Other Current Assets</t>
  </si>
  <si>
    <t>Total Current Assets</t>
  </si>
  <si>
    <t>Net Fixed Assets (PP&amp;E)</t>
  </si>
  <si>
    <t>Other Non-Current Assets</t>
  </si>
  <si>
    <t>Total Non-Current Assets</t>
  </si>
  <si>
    <t>Total Assets</t>
  </si>
  <si>
    <t>Accounts Payable (Trade Creditors)</t>
  </si>
  <si>
    <t>Short-term Borrowings</t>
  </si>
  <si>
    <t>Other Current Liabilities</t>
  </si>
  <si>
    <t>Total Current Liabilities</t>
  </si>
  <si>
    <t>Long-term Debt</t>
  </si>
  <si>
    <t>Other Non-Current Liabilities</t>
  </si>
  <si>
    <t>Total Non-Current Liabilities</t>
  </si>
  <si>
    <t>Total Liabilities</t>
  </si>
  <si>
    <t>Share Capital</t>
  </si>
  <si>
    <t>Reserves &amp; Retained Earnings</t>
  </si>
  <si>
    <t>Total Equity</t>
  </si>
  <si>
    <t>Total Liabilities &amp; Equity (check)</t>
  </si>
  <si>
    <t>Number of Shares Outstanding</t>
  </si>
  <si>
    <t>Market Price per Share</t>
  </si>
  <si>
    <t>INCOME STATEMENT</t>
  </si>
  <si>
    <t>Net Sales / Revenue</t>
  </si>
  <si>
    <t>Cost of Goods Sold (COGS)</t>
  </si>
  <si>
    <t>Gross Profit</t>
  </si>
  <si>
    <t>Operating Expenses</t>
  </si>
  <si>
    <t>EBIT (Operating Profit)</t>
  </si>
  <si>
    <t>Interest Expense</t>
  </si>
  <si>
    <t>Profit Before Tax</t>
  </si>
  <si>
    <t>Tax</t>
  </si>
  <si>
    <t>Net Profit</t>
  </si>
  <si>
    <t>Dividends Paid</t>
  </si>
  <si>
    <t>CASH FLOW STATEMENT</t>
  </si>
  <si>
    <t>Cash Flow from Operations (CFO)</t>
  </si>
  <si>
    <t>Cash Flow from Investing (CFI)</t>
  </si>
  <si>
    <t>Cash Flow from Financing (CFF)</t>
  </si>
  <si>
    <t>Net Change in Cash</t>
  </si>
  <si>
    <t>Capital Expenditure (Capex)</t>
  </si>
  <si>
    <t>LIQUIDITY RATIOS</t>
  </si>
  <si>
    <t>Ratio</t>
  </si>
  <si>
    <t>Formula</t>
  </si>
  <si>
    <t>Value</t>
  </si>
  <si>
    <t>Benchmark</t>
  </si>
  <si>
    <t>Signal</t>
  </si>
  <si>
    <t>Current Ratio</t>
  </si>
  <si>
    <t>Total Current Assets / Total Current Liabilities</t>
  </si>
  <si>
    <t>Good &gt;=1.5, Avg &gt;=1.0</t>
  </si>
  <si>
    <t>Quick Ratio (Acid Test)</t>
  </si>
  <si>
    <t>(Current Assets - Inventory) / Current Liabilities</t>
  </si>
  <si>
    <t>Good &gt;=1.0, Avg &gt;=0.75</t>
  </si>
  <si>
    <t>Cash Ratio</t>
  </si>
  <si>
    <t>(Cash + Short-term Investments) / Current Liabilities</t>
  </si>
  <si>
    <t>Good &gt;=0.5, Avg &gt;=0.2</t>
  </si>
  <si>
    <t>PROFITABILITY RATIOS</t>
  </si>
  <si>
    <t>Gross Profit Margin</t>
  </si>
  <si>
    <t>Gross Profit / Net Sales</t>
  </si>
  <si>
    <t>Good &gt;=30%, Avg &gt;=15%</t>
  </si>
  <si>
    <t>Net Profit Margin</t>
  </si>
  <si>
    <t>Net Profit / Net Sales</t>
  </si>
  <si>
    <t>Good &gt;=10%, Avg &gt;=5%</t>
  </si>
  <si>
    <t>Operating Margin</t>
  </si>
  <si>
    <t>EBIT / Net Sales</t>
  </si>
  <si>
    <t>Good &gt;=15%, Avg &gt;=8%</t>
  </si>
  <si>
    <t>Return on Assets (ROA)</t>
  </si>
  <si>
    <t>Net Profit / Total Assets</t>
  </si>
  <si>
    <t>Good &gt;=8%, Avg &gt;=4%</t>
  </si>
  <si>
    <t>Return on Equity (ROE)</t>
  </si>
  <si>
    <t>Net Profit / Total Equity</t>
  </si>
  <si>
    <t>EFFICIENCY RATIOS</t>
  </si>
  <si>
    <t>Inventory Turnover</t>
  </si>
  <si>
    <t>COGS / Inventory</t>
  </si>
  <si>
    <t>Good &gt;=6x, Avg &gt;=3x</t>
  </si>
  <si>
    <t>Days Inventory Outstanding</t>
  </si>
  <si>
    <t>365 / Inventory Turnover</t>
  </si>
  <si>
    <t>Good &lt;=60d, Avg &lt;=120d</t>
  </si>
  <si>
    <t>Receivables Turnover</t>
  </si>
  <si>
    <t>Net Sales / Accounts Receivable</t>
  </si>
  <si>
    <t>Good &gt;=8x, Avg &gt;=4x</t>
  </si>
  <si>
    <t>Days Sales Outstanding (DSO)</t>
  </si>
  <si>
    <t>365 / Receivables Turnover</t>
  </si>
  <si>
    <t>Good &lt;=45d, Avg &lt;=90d</t>
  </si>
  <si>
    <t>Asset Turnover</t>
  </si>
  <si>
    <t>Net Sales / Total Assets</t>
  </si>
  <si>
    <t>Good &gt;=1.0x, Avg &gt;=0.5x</t>
  </si>
  <si>
    <t>LEVERAGE RATIOS</t>
  </si>
  <si>
    <t>Debt to Equity</t>
  </si>
  <si>
    <t>Total Liabilities / Total Equity</t>
  </si>
  <si>
    <t>Good &lt;=1.0, Avg &lt;=2.0</t>
  </si>
  <si>
    <t>Debt to Assets</t>
  </si>
  <si>
    <t>Total Liabilities / Total Assets</t>
  </si>
  <si>
    <t>Good &lt;=50%, Avg &lt;=65%</t>
  </si>
  <si>
    <t>Interest Coverage Ratio (ICR)</t>
  </si>
  <si>
    <t>EBIT / Interest Expense</t>
  </si>
  <si>
    <t>Good &gt;=5x, Avg &gt;=2.5x</t>
  </si>
  <si>
    <t>Long-term Debt to Equity</t>
  </si>
  <si>
    <t>Long-term Debt / Total Equity</t>
  </si>
  <si>
    <t>Good &lt;=0.5, Avg &lt;=1.0</t>
  </si>
  <si>
    <t>INVESTOR RATIOS</t>
  </si>
  <si>
    <t>Earnings Per Share (EPS)</t>
  </si>
  <si>
    <t>Net Profit / Shares Outstanding</t>
  </si>
  <si>
    <t>Informational</t>
  </si>
  <si>
    <t>Price to Earnings (P/E)</t>
  </si>
  <si>
    <t>Market Price / EPS</t>
  </si>
  <si>
    <t>8-20x typically reasonable</t>
  </si>
  <si>
    <t>Dividend Yield</t>
  </si>
  <si>
    <t>(Dividends / Shares Outstanding) / Market Price</t>
  </si>
  <si>
    <t>Good &gt;=5%, Avg &gt;=2%</t>
  </si>
  <si>
    <t>Book Value per Share</t>
  </si>
  <si>
    <t>Total Equity / Shares Outstanding</t>
  </si>
  <si>
    <t>Dividend Payout Ratio</t>
  </si>
  <si>
    <t>Dividends Paid / Net Profit</t>
  </si>
  <si>
    <t>Good 30-60% balanced</t>
  </si>
  <si>
    <t>Sample Company Ltd</t>
  </si>
  <si>
    <t>FY202X</t>
  </si>
  <si>
    <t>Currency</t>
  </si>
  <si>
    <t>USD</t>
  </si>
  <si>
    <t>Amount</t>
  </si>
  <si>
    <t>%Scored (Good Cat)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</si>
</sst>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x"/>
    <numFmt numFmtId="165" formatCode="0.0%"/>
    <numFmt numFmtId="166" formatCode="0&quot; days&quot;"/>
    <numFmt numFmtId="167" formatCode="\$0.00"/>
  </numFmts>
  <fonts count="18" x14ac:knownFonts="1">
    <font>
      <sz val="11"/>
      <color theme="1"/>
      <name val="Calibri"/>
      <family val="2"/>
      <charset val="1"/>
    </font>
    <font>
      <b/>
      <sz val="16"/>
      <color rgb="FF000000"/>
      <name val="Arial"/>
      <charset val="1"/>
    </font>
    <font>
      <sz val="10"/>
      <color rgb="FF008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000000"/>
      <name val="Arial"/>
      <charset val="1"/>
    </font>
    <font>
      <i/>
      <sz val="9"/>
      <color rgb="FF595959"/>
      <name val="Arial"/>
      <charset val="1"/>
    </font>
    <font>
      <b/>
      <sz val="14"/>
      <color rgb="FF000000"/>
      <name val="Arial"/>
      <charset val="1"/>
    </font>
    <font>
      <sz val="10"/>
      <color rgb="FF0000FF"/>
      <name val="Arial"/>
      <charset val="1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70C0"/>
      <name val="Calibri"/>
      <family val="2"/>
    </font>
    <font>
      <sz val="11"/>
      <color theme="2"/>
      <name val="Calibri"/>
      <family val="2"/>
      <charset val="1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0" borderId="0" xfId="0" applyFont="1" applyAlignment="1">
      <alignment vertical="top" wrapText="1"/>
    </xf>
    <xf numFmtId="0" fontId="6" fillId="0" borderId="0" xfId="0" applyFont="1"/>
    <xf numFmtId="0" fontId="1" fillId="0" borderId="0" xfId="0" applyFont="1"/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8" fillId="0" borderId="0" xfId="0" applyFont="1"/>
    <xf numFmtId="0" fontId="3" fillId="2" borderId="0" xfId="0" applyFont="1" applyFill="1"/>
    <xf numFmtId="3" fontId="9" fillId="0" borderId="1" xfId="0" applyNumberFormat="1" applyFont="1" applyBorder="1"/>
    <xf numFmtId="3" fontId="4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10" fillId="0" borderId="2" xfId="0" applyFont="1" applyBorder="1"/>
    <xf numFmtId="0" fontId="10" fillId="0" borderId="5" xfId="0" applyFont="1" applyBorder="1"/>
    <xf numFmtId="0" fontId="11" fillId="0" borderId="0" xfId="0" applyFont="1"/>
    <xf numFmtId="0" fontId="12" fillId="0" borderId="4" xfId="0" applyFont="1" applyBorder="1"/>
    <xf numFmtId="0" fontId="12" fillId="0" borderId="7" xfId="0" applyFont="1" applyBorder="1"/>
    <xf numFmtId="0" fontId="0" fillId="0" borderId="9" xfId="0" applyBorder="1"/>
    <xf numFmtId="0" fontId="10" fillId="0" borderId="8" xfId="0" applyFont="1" applyBorder="1"/>
    <xf numFmtId="0" fontId="13" fillId="0" borderId="3" xfId="0" applyFont="1" applyBorder="1"/>
    <xf numFmtId="0" fontId="13" fillId="0" borderId="10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9" xfId="0" applyFont="1" applyBorder="1"/>
    <xf numFmtId="0" fontId="16" fillId="2" borderId="0" xfId="0" applyFont="1" applyFill="1"/>
    <xf numFmtId="0" fontId="17" fillId="2" borderId="11" xfId="0" applyFont="1" applyFill="1" applyBorder="1"/>
    <xf numFmtId="9" fontId="0" fillId="0" borderId="0" xfId="0" applyNumberFormat="1"/>
  </cellXfs>
  <cellStyles count="1">
    <cellStyle name="Normal" xfId="0" builtinId="0"/>
  </cellStyles>
  <dxfs count="21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Dashboard!$G$6</c:f>
              <c:strCache>
                <c:ptCount val="1"/>
                <c:pt idx="0">
                  <c:v>%Scored (Good Cat)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cat>
            <c:strRef>
              <c:f>Dashboard!$A$7:$A$11</c:f>
              <c:strCache>
                <c:ptCount val="5"/>
                <c:pt idx="0">
                  <c:v>Liquidity</c:v>
                </c:pt>
                <c:pt idx="1">
                  <c:v>Profitability</c:v>
                </c:pt>
                <c:pt idx="2">
                  <c:v>Efficiency</c:v>
                </c:pt>
                <c:pt idx="3">
                  <c:v>Leverage</c:v>
                </c:pt>
                <c:pt idx="4">
                  <c:v>Investor (scored)</c:v>
                </c:pt>
              </c:strCache>
            </c:strRef>
          </c:cat>
          <c:val>
            <c:numRef>
              <c:f>Dashboard!$G$7:$G$11</c:f>
              <c:numCache>
                <c:formatCode>0%</c:formatCode>
                <c:ptCount val="5"/>
                <c:pt idx="0">
                  <c:v>0.66666666666666663</c:v>
                </c:pt>
                <c:pt idx="1">
                  <c:v>1</c:v>
                </c:pt>
                <c:pt idx="2">
                  <c:v>0.2</c:v>
                </c:pt>
                <c:pt idx="3">
                  <c:v>0.75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F-4B2D-A2C3-84E73127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731880"/>
        <c:axId val="550730800"/>
      </c:radarChart>
      <c:catAx>
        <c:axId val="55073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0730800"/>
        <c:crosses val="autoZero"/>
        <c:auto val="1"/>
        <c:lblAlgn val="ctr"/>
        <c:lblOffset val="100"/>
        <c:noMultiLvlLbl val="0"/>
      </c:catAx>
      <c:valAx>
        <c:axId val="550730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50731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</a:t>
            </a:r>
            <a:r>
              <a:rPr lang="en-US" baseline="0"/>
              <a:t> Structure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Master!$E$13:$E$22</c:f>
              <c:strCache>
                <c:ptCount val="10"/>
                <c:pt idx="0">
                  <c:v>Net Sales / Revenue</c:v>
                </c:pt>
                <c:pt idx="1">
                  <c:v>Cost of Goods Sold (COGS)</c:v>
                </c:pt>
                <c:pt idx="2">
                  <c:v>Gross Profit</c:v>
                </c:pt>
                <c:pt idx="3">
                  <c:v>Operating Expenses</c:v>
                </c:pt>
                <c:pt idx="4">
                  <c:v>EBIT (Operating Profit)</c:v>
                </c:pt>
                <c:pt idx="5">
                  <c:v>Interest Expense</c:v>
                </c:pt>
                <c:pt idx="6">
                  <c:v>Profit Before Tax</c:v>
                </c:pt>
                <c:pt idx="7">
                  <c:v>Tax</c:v>
                </c:pt>
                <c:pt idx="8">
                  <c:v>Net Profit</c:v>
                </c:pt>
                <c:pt idx="9">
                  <c:v>Dividends Paid</c:v>
                </c:pt>
              </c:strCache>
            </c:strRef>
          </c:cat>
          <c:val>
            <c:numRef>
              <c:f>Master!$F$13:$F$22</c:f>
              <c:numCache>
                <c:formatCode>#,##0</c:formatCode>
                <c:ptCount val="10"/>
                <c:pt idx="0">
                  <c:v>900000</c:v>
                </c:pt>
                <c:pt idx="1">
                  <c:v>630000</c:v>
                </c:pt>
                <c:pt idx="2">
                  <c:v>270000</c:v>
                </c:pt>
                <c:pt idx="3">
                  <c:v>130000</c:v>
                </c:pt>
                <c:pt idx="4">
                  <c:v>140000</c:v>
                </c:pt>
                <c:pt idx="5">
                  <c:v>25000</c:v>
                </c:pt>
                <c:pt idx="6">
                  <c:v>115000</c:v>
                </c:pt>
                <c:pt idx="7">
                  <c:v>20000</c:v>
                </c:pt>
                <c:pt idx="8">
                  <c:v>95000</c:v>
                </c:pt>
                <c:pt idx="9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D-4DD4-BEBB-EB9C6CE4A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595592"/>
        <c:axId val="553596672"/>
      </c:barChart>
      <c:catAx>
        <c:axId val="55359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3596672"/>
        <c:crosses val="autoZero"/>
        <c:auto val="1"/>
        <c:lblAlgn val="ctr"/>
        <c:lblOffset val="100"/>
        <c:noMultiLvlLbl val="0"/>
      </c:catAx>
      <c:valAx>
        <c:axId val="553596672"/>
        <c:scaling>
          <c:orientation val="minMax"/>
        </c:scaling>
        <c:delete val="0"/>
        <c:axPos val="l"/>
        <c:majorGridlines>
          <c:spPr>
            <a:ln w="476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359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444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</a:t>
            </a:r>
            <a:r>
              <a:rPr lang="en-US" baseline="0"/>
              <a:t> Structure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Master!$E$13:$E$22</c:f>
              <c:strCache>
                <c:ptCount val="10"/>
                <c:pt idx="0">
                  <c:v>Net Sales / Revenue</c:v>
                </c:pt>
                <c:pt idx="1">
                  <c:v>Cost of Goods Sold (COGS)</c:v>
                </c:pt>
                <c:pt idx="2">
                  <c:v>Gross Profit</c:v>
                </c:pt>
                <c:pt idx="3">
                  <c:v>Operating Expenses</c:v>
                </c:pt>
                <c:pt idx="4">
                  <c:v>EBIT (Operating Profit)</c:v>
                </c:pt>
                <c:pt idx="5">
                  <c:v>Interest Expense</c:v>
                </c:pt>
                <c:pt idx="6">
                  <c:v>Profit Before Tax</c:v>
                </c:pt>
                <c:pt idx="7">
                  <c:v>Tax</c:v>
                </c:pt>
                <c:pt idx="8">
                  <c:v>Net Profit</c:v>
                </c:pt>
                <c:pt idx="9">
                  <c:v>Dividends Paid</c:v>
                </c:pt>
              </c:strCache>
            </c:strRef>
          </c:cat>
          <c:val>
            <c:numRef>
              <c:f>Master!$F$13:$F$22</c:f>
              <c:numCache>
                <c:formatCode>#,##0</c:formatCode>
                <c:ptCount val="10"/>
                <c:pt idx="0">
                  <c:v>900000</c:v>
                </c:pt>
                <c:pt idx="1">
                  <c:v>630000</c:v>
                </c:pt>
                <c:pt idx="2">
                  <c:v>270000</c:v>
                </c:pt>
                <c:pt idx="3">
                  <c:v>130000</c:v>
                </c:pt>
                <c:pt idx="4">
                  <c:v>140000</c:v>
                </c:pt>
                <c:pt idx="5">
                  <c:v>25000</c:v>
                </c:pt>
                <c:pt idx="6">
                  <c:v>115000</c:v>
                </c:pt>
                <c:pt idx="7">
                  <c:v>20000</c:v>
                </c:pt>
                <c:pt idx="8">
                  <c:v>95000</c:v>
                </c:pt>
                <c:pt idx="9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F-4BF9-921F-57E7800BC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595592"/>
        <c:axId val="553596672"/>
      </c:barChart>
      <c:catAx>
        <c:axId val="55359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3596672"/>
        <c:crosses val="autoZero"/>
        <c:auto val="1"/>
        <c:lblAlgn val="ctr"/>
        <c:lblOffset val="100"/>
        <c:noMultiLvlLbl val="0"/>
      </c:catAx>
      <c:valAx>
        <c:axId val="5535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5359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13</xdr:row>
      <xdr:rowOff>8466</xdr:rowOff>
    </xdr:from>
    <xdr:to>
      <xdr:col>3</xdr:col>
      <xdr:colOff>381854</xdr:colOff>
      <xdr:row>25</xdr:row>
      <xdr:rowOff>115529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8CA18-FE2F-EA79-28CA-EA85D0A96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625231</xdr:colOff>
      <xdr:row>13</xdr:row>
      <xdr:rowOff>0</xdr:rowOff>
    </xdr:from>
    <xdr:to>
      <xdr:col>7</xdr:col>
      <xdr:colOff>156307</xdr:colOff>
      <xdr:row>25</xdr:row>
      <xdr:rowOff>166077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297D46-2794-40CF-8D58-1BEF8E890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269614</xdr:colOff>
      <xdr:row>4</xdr:row>
      <xdr:rowOff>44137</xdr:rowOff>
    </xdr:from>
    <xdr:to>
      <xdr:col>15</xdr:col>
      <xdr:colOff>530901</xdr:colOff>
      <xdr:row>22</xdr:row>
      <xdr:rowOff>20819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53607-C9E6-1173-1E33-B4FB4DDCA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zoomScale="70" zoomScaleNormal="73" workbookViewId="0">
      <selection activeCell="K18" sqref="K18"/>
    </sheetView>
  </sheetViews>
  <sheetFormatPr defaultColWidth="8.6328125" defaultRowHeight="14.5" x14ac:dyDescent="0.35"/>
  <cols>
    <col min="1" max="1" width="24" customWidth="1"/>
    <col min="2" max="4" width="10" customWidth="1"/>
    <col min="5" max="5" width="12" customWidth="1"/>
    <col min="6" max="6" width="30" customWidth="1"/>
    <col min="7" max="7" width="19.90625" bestFit="1" customWidth="1"/>
  </cols>
  <sheetData>
    <row r="1" spans="1:7" ht="20" x14ac:dyDescent="0.4">
      <c r="A1" s="3" t="s">
        <v>0</v>
      </c>
      <c r="B1" s="3"/>
      <c r="C1" s="3"/>
      <c r="D1" s="3"/>
      <c r="E1" s="3"/>
      <c r="F1" s="3"/>
    </row>
    <row r="2" spans="1:7" ht="15" thickBot="1" x14ac:dyDescent="0.4"/>
    <row r="3" spans="1:7" ht="15" thickBot="1" x14ac:dyDescent="0.4">
      <c r="A3" s="16" t="s">
        <v>1</v>
      </c>
      <c r="B3" s="23" t="str">
        <f>Master!B2</f>
        <v>Sample Company Ltd</v>
      </c>
      <c r="C3" s="23"/>
      <c r="D3" s="24"/>
      <c r="E3" s="22" t="s">
        <v>135</v>
      </c>
      <c r="F3" s="21" t="str">
        <f>Master!E2</f>
        <v>USD</v>
      </c>
    </row>
    <row r="4" spans="1:7" ht="15" thickBot="1" x14ac:dyDescent="0.4">
      <c r="A4" s="17" t="s">
        <v>2</v>
      </c>
      <c r="B4" s="25" t="str">
        <f>Master!B3</f>
        <v>FY202X</v>
      </c>
      <c r="C4" s="25"/>
      <c r="D4" s="26"/>
    </row>
    <row r="6" spans="1:7" x14ac:dyDescent="0.3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31" t="s">
        <v>138</v>
      </c>
    </row>
    <row r="7" spans="1:7" x14ac:dyDescent="0.35">
      <c r="A7" s="5" t="s">
        <v>9</v>
      </c>
      <c r="B7" s="27">
        <f>COUNTIF(Liquidity!E4:E6,"Good")</f>
        <v>2</v>
      </c>
      <c r="C7" s="27">
        <f>COUNTIF(Liquidity!E4:E6,"Average")</f>
        <v>1</v>
      </c>
      <c r="D7" s="27">
        <f>COUNTIF(Liquidity!E4:E6,"Weak")</f>
        <v>0</v>
      </c>
      <c r="E7" s="27">
        <f>B7+C7+D7</f>
        <v>3</v>
      </c>
      <c r="F7" s="5" t="str">
        <f>IF(B7/E7&gt;=0.6,"Strong",IF((B7+C7)/E7&gt;=0.6,"Moderate - mixed signals","Weak - needs attention"))</f>
        <v>Strong</v>
      </c>
      <c r="G7" s="32">
        <f>B7/E7</f>
        <v>0.66666666666666663</v>
      </c>
    </row>
    <row r="8" spans="1:7" x14ac:dyDescent="0.35">
      <c r="A8" s="5" t="s">
        <v>10</v>
      </c>
      <c r="B8" s="27">
        <f>COUNTIF(Profitability!E4:E8,"Good")</f>
        <v>5</v>
      </c>
      <c r="C8" s="27">
        <f>COUNTIF(Profitability!E4:E8,"Average")</f>
        <v>0</v>
      </c>
      <c r="D8" s="27">
        <f>COUNTIF(Profitability!E4:E8,"Weak")</f>
        <v>0</v>
      </c>
      <c r="E8" s="27">
        <f>B8+C8+D8</f>
        <v>5</v>
      </c>
      <c r="F8" s="5" t="str">
        <f>IF(B8/E8&gt;=0.6,"Strong",IF((B8+C8)/E8&gt;=0.6,"Moderate - mixed signals","Weak - needs attention"))</f>
        <v>Strong</v>
      </c>
      <c r="G8" s="32">
        <f t="shared" ref="G8:G11" si="0">B8/E8</f>
        <v>1</v>
      </c>
    </row>
    <row r="9" spans="1:7" x14ac:dyDescent="0.35">
      <c r="A9" s="5" t="s">
        <v>11</v>
      </c>
      <c r="B9" s="27">
        <f>COUNTIF(Efficiency!E4:E8,"Good")</f>
        <v>1</v>
      </c>
      <c r="C9" s="27">
        <f>COUNTIF(Efficiency!E4:E8,"Average")</f>
        <v>4</v>
      </c>
      <c r="D9" s="27">
        <f>COUNTIF(Efficiency!E4:E8,"Weak")</f>
        <v>0</v>
      </c>
      <c r="E9" s="27">
        <f>B9+C9+D9</f>
        <v>5</v>
      </c>
      <c r="F9" s="5" t="str">
        <f>IF(B9/E9&gt;=0.6,"Strong",IF((B9+C9)/E9&gt;=0.6,"Moderate - mixed signals","Weak - needs attention"))</f>
        <v>Moderate - mixed signals</v>
      </c>
      <c r="G9" s="32">
        <f t="shared" si="0"/>
        <v>0.2</v>
      </c>
    </row>
    <row r="10" spans="1:7" x14ac:dyDescent="0.35">
      <c r="A10" s="5" t="s">
        <v>12</v>
      </c>
      <c r="B10" s="27">
        <f>COUNTIF(Leverage!E4:E7,"Good")</f>
        <v>3</v>
      </c>
      <c r="C10" s="27">
        <f>COUNTIF(Leverage!E4:E7,"Average")</f>
        <v>1</v>
      </c>
      <c r="D10" s="27">
        <f>COUNTIF(Leverage!E4:E7,"Weak")</f>
        <v>0</v>
      </c>
      <c r="E10" s="27">
        <f>B10+C10+D10</f>
        <v>4</v>
      </c>
      <c r="F10" s="5" t="str">
        <f>IF(B10/E10&gt;=0.6,"Strong",IF((B10+C10)/E10&gt;=0.6,"Moderate - mixed signals","Weak - needs attention"))</f>
        <v>Strong</v>
      </c>
      <c r="G10" s="32">
        <f t="shared" si="0"/>
        <v>0.75</v>
      </c>
    </row>
    <row r="11" spans="1:7" x14ac:dyDescent="0.35">
      <c r="A11" s="5" t="s">
        <v>13</v>
      </c>
      <c r="B11" s="27">
        <f>COUNTIF(Investor!E6,"Good")+COUNTIF(Investor!E8,"Good")</f>
        <v>2</v>
      </c>
      <c r="C11" s="27">
        <f>COUNTIF(Investor!E6,"Average")+COUNTIF(Investor!E8,"Average")</f>
        <v>0</v>
      </c>
      <c r="D11" s="27">
        <f>COUNTIF(Investor!E6,"Weak")+COUNTIF(Investor!E8,"Weak")</f>
        <v>0</v>
      </c>
      <c r="E11" s="27">
        <f>B11+C11+D11</f>
        <v>2</v>
      </c>
      <c r="F11" s="5" t="str">
        <f>IF(B11/E11&gt;=0.6,"Strong",IF((B11+C11)/E11&gt;=0.6,"Moderate - mixed signals","Weak - needs attention"))</f>
        <v>Strong</v>
      </c>
      <c r="G11" s="32">
        <f t="shared" si="0"/>
        <v>1</v>
      </c>
    </row>
    <row r="12" spans="1:7" x14ac:dyDescent="0.35">
      <c r="A12" s="7" t="s">
        <v>14</v>
      </c>
      <c r="B12" s="28">
        <f>SUM(B7:B11)</f>
        <v>13</v>
      </c>
      <c r="C12" s="28">
        <f>SUM(C7:C11)</f>
        <v>6</v>
      </c>
      <c r="D12" s="28">
        <f>SUM(D7:D11)</f>
        <v>0</v>
      </c>
      <c r="E12" s="28">
        <f>SUM(E7:E11)</f>
        <v>19</v>
      </c>
      <c r="F12" s="5"/>
    </row>
    <row r="14" spans="1:7" ht="16.5" x14ac:dyDescent="0.35">
      <c r="A14" s="18"/>
      <c r="B14" s="2"/>
      <c r="C14" s="2"/>
      <c r="D14" s="2"/>
      <c r="E14" s="2"/>
      <c r="F14" s="2"/>
    </row>
    <row r="16" spans="1:7" ht="30" customHeight="1" x14ac:dyDescent="0.35">
      <c r="A16" s="1"/>
      <c r="B16" s="1"/>
      <c r="C16" s="1"/>
      <c r="D16" s="1"/>
      <c r="E16" s="1"/>
      <c r="F16" s="1"/>
    </row>
  </sheetData>
  <mergeCells count="5">
    <mergeCell ref="A1:F1"/>
    <mergeCell ref="B3:D3"/>
    <mergeCell ref="B4:D4"/>
    <mergeCell ref="B14:F14"/>
    <mergeCell ref="A16:F16"/>
  </mergeCells>
  <conditionalFormatting sqref="B14">
    <cfRule type="cellIs" dxfId="20" priority="5" operator="equal">
      <formula>"STRONG FINANCIAL POSITION"</formula>
    </cfRule>
    <cfRule type="cellIs" dxfId="19" priority="6" operator="equal">
      <formula>"MODERATE - MIXED SIGNALS"</formula>
    </cfRule>
    <cfRule type="cellIs" dxfId="18" priority="7" operator="equal">
      <formula>"WEAK - CAUTION ADVISED"</formula>
    </cfRule>
  </conditionalFormatting>
  <conditionalFormatting sqref="F7:F12">
    <cfRule type="cellIs" dxfId="17" priority="2" operator="equal">
      <formula>"Strong"</formula>
    </cfRule>
    <cfRule type="cellIs" dxfId="16" priority="3" operator="equal">
      <formula>"Moderate - mixed signals"</formula>
    </cfRule>
    <cfRule type="cellIs" dxfId="15" priority="4" operator="equal">
      <formula>"Weak - needs attention"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zoomScale="61" zoomScaleNormal="100" workbookViewId="0">
      <selection activeCell="P28" sqref="P28"/>
    </sheetView>
  </sheetViews>
  <sheetFormatPr defaultColWidth="8.6328125" defaultRowHeight="14.5" x14ac:dyDescent="0.35"/>
  <cols>
    <col min="1" max="1" width="34" customWidth="1"/>
    <col min="2" max="2" width="18" customWidth="1"/>
    <col min="5" max="5" width="32.54296875" customWidth="1"/>
    <col min="6" max="6" width="22.54296875" customWidth="1"/>
  </cols>
  <sheetData>
    <row r="1" spans="1:6" ht="18.5" thickBot="1" x14ac:dyDescent="0.45">
      <c r="A1" s="8" t="s">
        <v>15</v>
      </c>
    </row>
    <row r="2" spans="1:6" ht="15" thickBot="1" x14ac:dyDescent="0.4">
      <c r="A2" s="16" t="s">
        <v>16</v>
      </c>
      <c r="B2" s="19" t="s">
        <v>133</v>
      </c>
      <c r="D2" s="22" t="s">
        <v>135</v>
      </c>
      <c r="E2" s="29" t="s">
        <v>136</v>
      </c>
    </row>
    <row r="3" spans="1:6" ht="15" thickBot="1" x14ac:dyDescent="0.4">
      <c r="A3" s="17" t="s">
        <v>2</v>
      </c>
      <c r="B3" s="20" t="s">
        <v>134</v>
      </c>
    </row>
    <row r="5" spans="1:6" x14ac:dyDescent="0.35">
      <c r="A5" s="9" t="s">
        <v>17</v>
      </c>
      <c r="B5" s="30" t="s">
        <v>137</v>
      </c>
      <c r="E5" s="9" t="s">
        <v>53</v>
      </c>
      <c r="F5" s="30" t="s">
        <v>137</v>
      </c>
    </row>
    <row r="6" spans="1:6" x14ac:dyDescent="0.35">
      <c r="A6" s="5" t="s">
        <v>18</v>
      </c>
      <c r="B6" s="10">
        <v>45000</v>
      </c>
      <c r="E6" s="5" t="s">
        <v>54</v>
      </c>
      <c r="F6" s="10">
        <v>95000</v>
      </c>
    </row>
    <row r="7" spans="1:6" x14ac:dyDescent="0.35">
      <c r="A7" s="5" t="s">
        <v>19</v>
      </c>
      <c r="B7" s="10">
        <v>15000</v>
      </c>
      <c r="E7" s="5" t="s">
        <v>55</v>
      </c>
      <c r="F7" s="10">
        <v>-40000</v>
      </c>
    </row>
    <row r="8" spans="1:6" x14ac:dyDescent="0.35">
      <c r="A8" s="5" t="s">
        <v>20</v>
      </c>
      <c r="B8" s="10">
        <v>120000</v>
      </c>
      <c r="E8" s="5" t="s">
        <v>56</v>
      </c>
      <c r="F8" s="10">
        <v>-20000</v>
      </c>
    </row>
    <row r="9" spans="1:6" x14ac:dyDescent="0.35">
      <c r="A9" s="5" t="s">
        <v>21</v>
      </c>
      <c r="B9" s="10">
        <v>180000</v>
      </c>
      <c r="E9" s="5" t="s">
        <v>57</v>
      </c>
      <c r="F9" s="11">
        <f>SUM(F6:F8)</f>
        <v>35000</v>
      </c>
    </row>
    <row r="10" spans="1:6" x14ac:dyDescent="0.35">
      <c r="A10" s="5" t="s">
        <v>22</v>
      </c>
      <c r="B10" s="10">
        <v>10000</v>
      </c>
      <c r="E10" s="5" t="s">
        <v>58</v>
      </c>
      <c r="F10" s="10">
        <v>40000</v>
      </c>
    </row>
    <row r="11" spans="1:6" x14ac:dyDescent="0.35">
      <c r="A11" s="5" t="s">
        <v>23</v>
      </c>
      <c r="B11" s="11">
        <f>SUM(B6:B10)</f>
        <v>370000</v>
      </c>
    </row>
    <row r="12" spans="1:6" x14ac:dyDescent="0.35">
      <c r="A12" s="5" t="s">
        <v>24</v>
      </c>
      <c r="B12" s="10">
        <v>320000</v>
      </c>
      <c r="E12" s="9" t="s">
        <v>42</v>
      </c>
      <c r="F12" s="30" t="s">
        <v>137</v>
      </c>
    </row>
    <row r="13" spans="1:6" x14ac:dyDescent="0.35">
      <c r="A13" s="5" t="s">
        <v>25</v>
      </c>
      <c r="B13" s="10">
        <v>20000</v>
      </c>
      <c r="E13" s="5" t="s">
        <v>43</v>
      </c>
      <c r="F13" s="10">
        <v>900000</v>
      </c>
    </row>
    <row r="14" spans="1:6" x14ac:dyDescent="0.35">
      <c r="A14" s="5" t="s">
        <v>26</v>
      </c>
      <c r="B14" s="11">
        <f>SUM(B12:B13)</f>
        <v>340000</v>
      </c>
      <c r="E14" s="5" t="s">
        <v>44</v>
      </c>
      <c r="F14" s="10">
        <v>630000</v>
      </c>
    </row>
    <row r="15" spans="1:6" x14ac:dyDescent="0.35">
      <c r="A15" s="7" t="s">
        <v>27</v>
      </c>
      <c r="B15" s="11">
        <f>B11+B14</f>
        <v>710000</v>
      </c>
      <c r="E15" s="5" t="s">
        <v>45</v>
      </c>
      <c r="F15" s="11">
        <f>F13-F14</f>
        <v>270000</v>
      </c>
    </row>
    <row r="16" spans="1:6" x14ac:dyDescent="0.35">
      <c r="A16" s="5" t="s">
        <v>28</v>
      </c>
      <c r="B16" s="10">
        <v>90000</v>
      </c>
      <c r="E16" s="5" t="s">
        <v>46</v>
      </c>
      <c r="F16" s="10">
        <v>130000</v>
      </c>
    </row>
    <row r="17" spans="1:6" x14ac:dyDescent="0.35">
      <c r="A17" s="5" t="s">
        <v>29</v>
      </c>
      <c r="B17" s="10">
        <v>60000</v>
      </c>
      <c r="E17" s="5" t="s">
        <v>47</v>
      </c>
      <c r="F17" s="11">
        <f>F15-F16</f>
        <v>140000</v>
      </c>
    </row>
    <row r="18" spans="1:6" x14ac:dyDescent="0.35">
      <c r="A18" s="5" t="s">
        <v>30</v>
      </c>
      <c r="B18" s="10">
        <v>15000</v>
      </c>
      <c r="E18" s="5" t="s">
        <v>48</v>
      </c>
      <c r="F18" s="10">
        <v>25000</v>
      </c>
    </row>
    <row r="19" spans="1:6" x14ac:dyDescent="0.35">
      <c r="A19" s="5" t="s">
        <v>31</v>
      </c>
      <c r="B19" s="11">
        <f>SUM(B16:B18)</f>
        <v>165000</v>
      </c>
      <c r="E19" s="5" t="s">
        <v>49</v>
      </c>
      <c r="F19" s="11">
        <f>F17-F18</f>
        <v>115000</v>
      </c>
    </row>
    <row r="20" spans="1:6" x14ac:dyDescent="0.35">
      <c r="A20" s="5" t="s">
        <v>32</v>
      </c>
      <c r="B20" s="10">
        <v>130000</v>
      </c>
      <c r="E20" s="5" t="s">
        <v>50</v>
      </c>
      <c r="F20" s="10">
        <v>20000</v>
      </c>
    </row>
    <row r="21" spans="1:6" x14ac:dyDescent="0.35">
      <c r="A21" s="5" t="s">
        <v>33</v>
      </c>
      <c r="B21" s="10">
        <v>10000</v>
      </c>
      <c r="E21" s="5" t="s">
        <v>51</v>
      </c>
      <c r="F21" s="11">
        <f>F19-F20</f>
        <v>95000</v>
      </c>
    </row>
    <row r="22" spans="1:6" x14ac:dyDescent="0.35">
      <c r="A22" s="5" t="s">
        <v>34</v>
      </c>
      <c r="B22" s="11">
        <f>SUM(B20:B21)</f>
        <v>140000</v>
      </c>
      <c r="E22" s="5" t="s">
        <v>52</v>
      </c>
      <c r="F22" s="10">
        <v>30000</v>
      </c>
    </row>
    <row r="23" spans="1:6" x14ac:dyDescent="0.35">
      <c r="A23" s="7" t="s">
        <v>35</v>
      </c>
      <c r="B23" s="11">
        <f>B19+B22</f>
        <v>305000</v>
      </c>
    </row>
    <row r="24" spans="1:6" x14ac:dyDescent="0.35">
      <c r="A24" s="5" t="s">
        <v>36</v>
      </c>
      <c r="B24" s="10">
        <v>100000</v>
      </c>
    </row>
    <row r="25" spans="1:6" x14ac:dyDescent="0.35">
      <c r="A25" s="5" t="s">
        <v>37</v>
      </c>
      <c r="B25" s="10">
        <v>200000</v>
      </c>
    </row>
    <row r="26" spans="1:6" x14ac:dyDescent="0.35">
      <c r="A26" s="7" t="s">
        <v>38</v>
      </c>
      <c r="B26" s="11">
        <f>SUM(B24:B25)</f>
        <v>300000</v>
      </c>
    </row>
    <row r="27" spans="1:6" x14ac:dyDescent="0.35">
      <c r="A27" s="5" t="s">
        <v>39</v>
      </c>
      <c r="B27" s="11">
        <f>B23+B26</f>
        <v>605000</v>
      </c>
    </row>
    <row r="28" spans="1:6" x14ac:dyDescent="0.35">
      <c r="A28" s="5" t="s">
        <v>40</v>
      </c>
      <c r="B28" s="10">
        <v>10000</v>
      </c>
    </row>
    <row r="29" spans="1:6" x14ac:dyDescent="0.35">
      <c r="A29" s="5" t="s">
        <v>41</v>
      </c>
      <c r="B29" s="10">
        <v>45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zoomScaleNormal="100" workbookViewId="0">
      <selection activeCell="B15" sqref="B15"/>
    </sheetView>
  </sheetViews>
  <sheetFormatPr defaultColWidth="8.6328125" defaultRowHeight="14.5" x14ac:dyDescent="0.35"/>
  <cols>
    <col min="1" max="1" width="30" customWidth="1"/>
    <col min="2" max="2" width="46.453125" customWidth="1"/>
    <col min="3" max="3" width="12" customWidth="1"/>
    <col min="4" max="4" width="26" customWidth="1"/>
    <col min="5" max="5" width="12" customWidth="1"/>
  </cols>
  <sheetData>
    <row r="1" spans="1:5" ht="18" x14ac:dyDescent="0.4">
      <c r="A1" s="8" t="s">
        <v>59</v>
      </c>
    </row>
    <row r="3" spans="1:5" x14ac:dyDescent="0.35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</row>
    <row r="4" spans="1:5" x14ac:dyDescent="0.35">
      <c r="A4" s="5" t="s">
        <v>65</v>
      </c>
      <c r="B4" s="5" t="s">
        <v>66</v>
      </c>
      <c r="C4" s="12">
        <f>Total_Current_Assets/Total_Current_Liabilities</f>
        <v>2.2424242424242422</v>
      </c>
      <c r="D4" s="5" t="s">
        <v>67</v>
      </c>
      <c r="E4" s="6" t="str">
        <f>IF(C4&gt;=1.5,"Good",IF(C4&gt;=1,"Average","Weak"))</f>
        <v>Good</v>
      </c>
    </row>
    <row r="5" spans="1:5" x14ac:dyDescent="0.35">
      <c r="A5" s="5" t="s">
        <v>68</v>
      </c>
      <c r="B5" s="5" t="s">
        <v>69</v>
      </c>
      <c r="C5" s="12">
        <f>(Total_Current_Assets-Inventory)/Total_Current_Liabilities</f>
        <v>1.1515151515151516</v>
      </c>
      <c r="D5" s="5" t="s">
        <v>70</v>
      </c>
      <c r="E5" s="6" t="str">
        <f>IF(C5&gt;=1,"Good",IF(C5&gt;=0.75,"Average","Weak"))</f>
        <v>Good</v>
      </c>
    </row>
    <row r="6" spans="1:5" x14ac:dyDescent="0.35">
      <c r="A6" s="5" t="s">
        <v>71</v>
      </c>
      <c r="B6" s="5" t="s">
        <v>72</v>
      </c>
      <c r="C6" s="12">
        <f>(Cash_Bank+ST_Investments)/Total_Current_Liabilities</f>
        <v>0.36363636363636365</v>
      </c>
      <c r="D6" s="5" t="s">
        <v>73</v>
      </c>
      <c r="E6" s="6" t="str">
        <f>IF(C6&gt;=0.5,"Good",IF(C6&gt;=0.2,"Average","Weak"))</f>
        <v>Average</v>
      </c>
    </row>
  </sheetData>
  <conditionalFormatting sqref="E4:E6">
    <cfRule type="cellIs" dxfId="14" priority="2" operator="equal">
      <formula>"Good"</formula>
    </cfRule>
    <cfRule type="cellIs" dxfId="13" priority="3" operator="equal">
      <formula>"Average"</formula>
    </cfRule>
    <cfRule type="cellIs" dxfId="12" priority="4" operator="equal">
      <formula>"Weak"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zoomScaleNormal="100" workbookViewId="0">
      <selection activeCell="B13" sqref="B13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2" customWidth="1"/>
    <col min="4" max="4" width="26" customWidth="1"/>
    <col min="5" max="5" width="12" customWidth="1"/>
  </cols>
  <sheetData>
    <row r="1" spans="1:5" ht="18" x14ac:dyDescent="0.4">
      <c r="A1" s="8" t="s">
        <v>74</v>
      </c>
    </row>
    <row r="3" spans="1:5" x14ac:dyDescent="0.35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</row>
    <row r="4" spans="1:5" x14ac:dyDescent="0.35">
      <c r="A4" s="5" t="s">
        <v>75</v>
      </c>
      <c r="B4" s="5" t="s">
        <v>76</v>
      </c>
      <c r="C4" s="13">
        <f>Gross_Profit/Net_Sales</f>
        <v>0.3</v>
      </c>
      <c r="D4" s="5" t="s">
        <v>77</v>
      </c>
      <c r="E4" s="6" t="str">
        <f>IF(C4&gt;=0.3,"Good",IF(C4&gt;=0.15,"Average","Weak"))</f>
        <v>Good</v>
      </c>
    </row>
    <row r="5" spans="1:5" x14ac:dyDescent="0.35">
      <c r="A5" s="5" t="s">
        <v>78</v>
      </c>
      <c r="B5" s="5" t="s">
        <v>79</v>
      </c>
      <c r="C5" s="13">
        <f>Net_Profit/Net_Sales</f>
        <v>0.10555555555555556</v>
      </c>
      <c r="D5" s="5" t="s">
        <v>80</v>
      </c>
      <c r="E5" s="6" t="str">
        <f>IF(C5&gt;=0.1,"Good",IF(C5&gt;=0.05,"Average","Weak"))</f>
        <v>Good</v>
      </c>
    </row>
    <row r="6" spans="1:5" x14ac:dyDescent="0.35">
      <c r="A6" s="5" t="s">
        <v>81</v>
      </c>
      <c r="B6" s="5" t="s">
        <v>82</v>
      </c>
      <c r="C6" s="13">
        <f>EBIT/Net_Sales</f>
        <v>0.15555555555555556</v>
      </c>
      <c r="D6" s="5" t="s">
        <v>83</v>
      </c>
      <c r="E6" s="6" t="str">
        <f>IF(C6&gt;=0.15,"Good",IF(C6&gt;=0.08,"Average","Weak"))</f>
        <v>Good</v>
      </c>
    </row>
    <row r="7" spans="1:5" x14ac:dyDescent="0.35">
      <c r="A7" s="5" t="s">
        <v>84</v>
      </c>
      <c r="B7" s="5" t="s">
        <v>85</v>
      </c>
      <c r="C7" s="13">
        <f>Net_Profit/Total_Assets</f>
        <v>0.13380281690140844</v>
      </c>
      <c r="D7" s="5" t="s">
        <v>86</v>
      </c>
      <c r="E7" s="6" t="str">
        <f>IF(C7&gt;=0.08,"Good",IF(C7&gt;=0.04,"Average","Weak"))</f>
        <v>Good</v>
      </c>
    </row>
    <row r="8" spans="1:5" x14ac:dyDescent="0.35">
      <c r="A8" s="5" t="s">
        <v>87</v>
      </c>
      <c r="B8" s="5" t="s">
        <v>88</v>
      </c>
      <c r="C8" s="13">
        <f>Net_Profit/Total_Equity</f>
        <v>0.31666666666666665</v>
      </c>
      <c r="D8" s="5" t="s">
        <v>83</v>
      </c>
      <c r="E8" s="6" t="str">
        <f>IF(C8&gt;=0.15,"Good",IF(C8&gt;=0.08,"Average","Weak"))</f>
        <v>Good</v>
      </c>
    </row>
  </sheetData>
  <conditionalFormatting sqref="E4:E8">
    <cfRule type="cellIs" dxfId="11" priority="2" operator="equal">
      <formula>"Good"</formula>
    </cfRule>
    <cfRule type="cellIs" dxfId="10" priority="3" operator="equal">
      <formula>"Average"</formula>
    </cfRule>
    <cfRule type="cellIs" dxfId="9" priority="4" operator="equal">
      <formula>"Weak"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zoomScaleNormal="100" workbookViewId="0">
      <selection activeCell="B7" sqref="A3:E8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2" customWidth="1"/>
    <col min="4" max="4" width="26" customWidth="1"/>
    <col min="5" max="5" width="12" customWidth="1"/>
  </cols>
  <sheetData>
    <row r="1" spans="1:5" ht="18" x14ac:dyDescent="0.4">
      <c r="A1" s="8" t="s">
        <v>89</v>
      </c>
    </row>
    <row r="3" spans="1:5" x14ac:dyDescent="0.35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</row>
    <row r="4" spans="1:5" x14ac:dyDescent="0.35">
      <c r="A4" s="5" t="s">
        <v>90</v>
      </c>
      <c r="B4" s="5" t="s">
        <v>91</v>
      </c>
      <c r="C4" s="12">
        <f>COGS/Inventory</f>
        <v>3.5</v>
      </c>
      <c r="D4" s="5" t="s">
        <v>92</v>
      </c>
      <c r="E4" s="6" t="str">
        <f>IF(C4&gt;=6,"Good",IF(C4&gt;=3,"Average","Weak"))</f>
        <v>Average</v>
      </c>
    </row>
    <row r="5" spans="1:5" x14ac:dyDescent="0.35">
      <c r="A5" s="5" t="s">
        <v>93</v>
      </c>
      <c r="B5" s="5" t="s">
        <v>94</v>
      </c>
      <c r="C5" s="14">
        <f>365/(COGS/Inventory)</f>
        <v>104.28571428571429</v>
      </c>
      <c r="D5" s="5" t="s">
        <v>95</v>
      </c>
      <c r="E5" s="6" t="str">
        <f>IF(C5&lt;=60,"Good",IF(C5&lt;=120,"Average","Weak"))</f>
        <v>Average</v>
      </c>
    </row>
    <row r="6" spans="1:5" x14ac:dyDescent="0.35">
      <c r="A6" s="5" t="s">
        <v>96</v>
      </c>
      <c r="B6" s="5" t="s">
        <v>97</v>
      </c>
      <c r="C6" s="12">
        <f>Net_Sales/AR</f>
        <v>7.5</v>
      </c>
      <c r="D6" s="5" t="s">
        <v>98</v>
      </c>
      <c r="E6" s="6" t="str">
        <f>IF(C6&gt;=8,"Good",IF(C6&gt;=4,"Average","Weak"))</f>
        <v>Average</v>
      </c>
    </row>
    <row r="7" spans="1:5" x14ac:dyDescent="0.35">
      <c r="A7" s="5" t="s">
        <v>99</v>
      </c>
      <c r="B7" s="5" t="s">
        <v>100</v>
      </c>
      <c r="C7" s="14">
        <f>365/(Net_Sales/AR)</f>
        <v>48.666666666666664</v>
      </c>
      <c r="D7" s="5" t="s">
        <v>101</v>
      </c>
      <c r="E7" s="6" t="str">
        <f>IF(C7&lt;=45,"Good",IF(C7&lt;=90,"Average","Weak"))</f>
        <v>Average</v>
      </c>
    </row>
    <row r="8" spans="1:5" x14ac:dyDescent="0.35">
      <c r="A8" s="5" t="s">
        <v>102</v>
      </c>
      <c r="B8" s="5" t="s">
        <v>103</v>
      </c>
      <c r="C8" s="12">
        <f>Net_Sales/Total_Assets</f>
        <v>1.267605633802817</v>
      </c>
      <c r="D8" s="5" t="s">
        <v>104</v>
      </c>
      <c r="E8" s="6" t="str">
        <f>IF(C8&gt;=1,"Good",IF(C8&gt;=0.5,"Average","Weak"))</f>
        <v>Good</v>
      </c>
    </row>
  </sheetData>
  <conditionalFormatting sqref="E4:E8">
    <cfRule type="cellIs" dxfId="8" priority="2" operator="equal">
      <formula>"Good"</formula>
    </cfRule>
    <cfRule type="cellIs" dxfId="7" priority="3" operator="equal">
      <formula>"Average"</formula>
    </cfRule>
    <cfRule type="cellIs" dxfId="6" priority="4" operator="equal">
      <formula>"Weak"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tabSelected="1" zoomScaleNormal="100" workbookViewId="0">
      <selection activeCell="H12" sqref="H12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2" customWidth="1"/>
    <col min="4" max="4" width="26" customWidth="1"/>
    <col min="5" max="5" width="12" customWidth="1"/>
  </cols>
  <sheetData>
    <row r="1" spans="1:5" ht="18" x14ac:dyDescent="0.4">
      <c r="A1" s="8" t="s">
        <v>105</v>
      </c>
    </row>
    <row r="3" spans="1:5" x14ac:dyDescent="0.35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</row>
    <row r="4" spans="1:5" x14ac:dyDescent="0.35">
      <c r="A4" s="5" t="s">
        <v>106</v>
      </c>
      <c r="B4" s="5" t="s">
        <v>107</v>
      </c>
      <c r="C4" s="12">
        <f>Total_Liabilities/Total_Equity</f>
        <v>1.0166666666666666</v>
      </c>
      <c r="D4" s="5" t="s">
        <v>108</v>
      </c>
      <c r="E4" s="6" t="str">
        <f>IF(C4&lt;=1,"Good",IF(C4&lt;=2,"Average","Weak"))</f>
        <v>Average</v>
      </c>
    </row>
    <row r="5" spans="1:5" x14ac:dyDescent="0.35">
      <c r="A5" s="5" t="s">
        <v>109</v>
      </c>
      <c r="B5" s="5" t="s">
        <v>110</v>
      </c>
      <c r="C5" s="13">
        <f>Total_Liabilities/Total_Assets</f>
        <v>0.42957746478873238</v>
      </c>
      <c r="D5" s="5" t="s">
        <v>111</v>
      </c>
      <c r="E5" s="6" t="str">
        <f>IF(C5&lt;=0.5,"Good",IF(C5&lt;=0.65,"Average","Weak"))</f>
        <v>Good</v>
      </c>
    </row>
    <row r="6" spans="1:5" x14ac:dyDescent="0.35">
      <c r="A6" s="5" t="s">
        <v>112</v>
      </c>
      <c r="B6" s="5" t="s">
        <v>113</v>
      </c>
      <c r="C6" s="12">
        <f>EBIT/Interest_Expense</f>
        <v>5.6</v>
      </c>
      <c r="D6" s="5" t="s">
        <v>114</v>
      </c>
      <c r="E6" s="6" t="str">
        <f>IF(C6&gt;=5,"Good",IF(C6&gt;=2.5,"Average","Weak"))</f>
        <v>Good</v>
      </c>
    </row>
    <row r="7" spans="1:5" x14ac:dyDescent="0.35">
      <c r="A7" s="5" t="s">
        <v>115</v>
      </c>
      <c r="B7" s="5" t="s">
        <v>116</v>
      </c>
      <c r="C7" s="12">
        <f>LT_Debt/Total_Equity</f>
        <v>0.43333333333333335</v>
      </c>
      <c r="D7" s="5" t="s">
        <v>117</v>
      </c>
      <c r="E7" s="6" t="str">
        <f>IF(C7&lt;=0.5,"Good",IF(C7&lt;=1,"Average","Weak"))</f>
        <v>Good</v>
      </c>
    </row>
  </sheetData>
  <conditionalFormatting sqref="E4:E7">
    <cfRule type="cellIs" dxfId="5" priority="2" operator="equal">
      <formula>"Good"</formula>
    </cfRule>
    <cfRule type="cellIs" dxfId="4" priority="3" operator="equal">
      <formula>"Average"</formula>
    </cfRule>
    <cfRule type="cellIs" dxfId="3" priority="4" operator="equal">
      <formula>"Weak"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showGridLines="0" zoomScaleNormal="100" workbookViewId="0">
      <selection activeCell="D13" sqref="D13"/>
    </sheetView>
  </sheetViews>
  <sheetFormatPr defaultColWidth="8.6328125" defaultRowHeight="14.5" x14ac:dyDescent="0.35"/>
  <cols>
    <col min="1" max="1" width="30" customWidth="1"/>
    <col min="2" max="2" width="37.54296875" customWidth="1"/>
    <col min="3" max="3" width="12" customWidth="1"/>
    <col min="4" max="4" width="26" customWidth="1"/>
    <col min="5" max="5" width="23" customWidth="1"/>
  </cols>
  <sheetData>
    <row r="1" spans="1:5" ht="18" x14ac:dyDescent="0.4">
      <c r="A1" s="8" t="s">
        <v>118</v>
      </c>
    </row>
    <row r="3" spans="1:5" x14ac:dyDescent="0.35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</row>
    <row r="4" spans="1:5" x14ac:dyDescent="0.35">
      <c r="A4" s="5" t="s">
        <v>119</v>
      </c>
      <c r="B4" s="5" t="s">
        <v>120</v>
      </c>
      <c r="C4" s="15">
        <f>Net_Profit/Shares_Out</f>
        <v>9.5</v>
      </c>
      <c r="D4" s="5" t="s">
        <v>121</v>
      </c>
      <c r="E4" s="6" t="str">
        <f>IF(C4&gt;0,"Info - Positive","Info - Negative")</f>
        <v>Info - Positive</v>
      </c>
    </row>
    <row r="5" spans="1:5" x14ac:dyDescent="0.35">
      <c r="A5" s="5" t="s">
        <v>122</v>
      </c>
      <c r="B5" s="5" t="s">
        <v>123</v>
      </c>
      <c r="C5" s="12">
        <f>Market_Price/(Net_Profit/Shares_Out)</f>
        <v>4.7368421052631575</v>
      </c>
      <c r="D5" s="5" t="s">
        <v>124</v>
      </c>
      <c r="E5" s="6" t="str">
        <f>IF(C5&lt;8,"Info - Possibly undervalued",IF(C5&lt;=20,"Info - Reasonable range","Info - Possibly overvalued"))</f>
        <v>Info - Possibly undervalued</v>
      </c>
    </row>
    <row r="6" spans="1:5" x14ac:dyDescent="0.35">
      <c r="A6" s="5" t="s">
        <v>125</v>
      </c>
      <c r="B6" s="5" t="s">
        <v>126</v>
      </c>
      <c r="C6" s="13">
        <f>(Dividends/Shares_Out)/Market_Price</f>
        <v>6.6666666666666666E-2</v>
      </c>
      <c r="D6" s="5" t="s">
        <v>127</v>
      </c>
      <c r="E6" s="6" t="str">
        <f>IF(C6&gt;=0.05,"Good",IF(C6&gt;=0.02,"Average","Weak"))</f>
        <v>Good</v>
      </c>
    </row>
    <row r="7" spans="1:5" x14ac:dyDescent="0.35">
      <c r="A7" s="5" t="s">
        <v>128</v>
      </c>
      <c r="B7" s="5" t="s">
        <v>129</v>
      </c>
      <c r="C7" s="15">
        <f>Total_Equity/Shares_Out</f>
        <v>30</v>
      </c>
      <c r="D7" s="5" t="s">
        <v>121</v>
      </c>
      <c r="E7" s="6" t="str">
        <f>""</f>
        <v/>
      </c>
    </row>
    <row r="8" spans="1:5" x14ac:dyDescent="0.35">
      <c r="A8" s="5" t="s">
        <v>130</v>
      </c>
      <c r="B8" s="5" t="s">
        <v>131</v>
      </c>
      <c r="C8" s="13">
        <f>Dividends/Net_Profit</f>
        <v>0.31578947368421051</v>
      </c>
      <c r="D8" s="5" t="s">
        <v>132</v>
      </c>
      <c r="E8" s="6" t="str">
        <f>IF(AND(C8&gt;=0.3,C8&lt;=0.6),"Good",IF(C8&lt;0.3,"Average","Average"))</f>
        <v>Good</v>
      </c>
    </row>
  </sheetData>
  <conditionalFormatting sqref="E4:E8">
    <cfRule type="cellIs" dxfId="2" priority="2" operator="equal">
      <formula>"Good"</formula>
    </cfRule>
    <cfRule type="cellIs" dxfId="1" priority="3" operator="equal">
      <formula>"Average"</formula>
    </cfRule>
    <cfRule type="cellIs" dxfId="0" priority="4" operator="equal">
      <formula>"Weak"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22</vt:i4>
      </vt:variant>
    </vt:vector>
  </HeadingPairs>
  <TitlesOfParts>
    <vt:vector size="29" baseType="lpstr">
      <vt:lpstr>Dashboard</vt:lpstr>
      <vt:lpstr>Master</vt:lpstr>
      <vt:lpstr>Liquidity</vt:lpstr>
      <vt:lpstr>Profitability</vt:lpstr>
      <vt:lpstr>Efficiency</vt:lpstr>
      <vt:lpstr>Leverage</vt:lpstr>
      <vt:lpstr>Investor</vt:lpstr>
      <vt:lpstr>AP</vt:lpstr>
      <vt:lpstr>AR</vt:lpstr>
      <vt:lpstr>Capex</vt:lpstr>
      <vt:lpstr>Cash_Bank</vt:lpstr>
      <vt:lpstr>CFO</vt:lpstr>
      <vt:lpstr>COGS</vt:lpstr>
      <vt:lpstr>Dividends</vt:lpstr>
      <vt:lpstr>EBIT</vt:lpstr>
      <vt:lpstr>Gross_Profit</vt:lpstr>
      <vt:lpstr>Interest_Expense</vt:lpstr>
      <vt:lpstr>Inventory</vt:lpstr>
      <vt:lpstr>LT_Debt</vt:lpstr>
      <vt:lpstr>Market_Price</vt:lpstr>
      <vt:lpstr>Net_Profit</vt:lpstr>
      <vt:lpstr>Net_Sales</vt:lpstr>
      <vt:lpstr>Shares_Out</vt:lpstr>
      <vt:lpstr>ST_Investments</vt:lpstr>
      <vt:lpstr>Total_Assets</vt:lpstr>
      <vt:lpstr>Total_Current_Assets</vt:lpstr>
      <vt:lpstr>Total_Current_Liabilities</vt:lpstr>
      <vt:lpstr>Total_Equity</vt:lpstr>
      <vt:lpstr>Total_Liabilities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TAYYAB LATIF</cp:lastModifiedBy>
  <cp:revision>0</cp:revision>
  <dcterms:created xsi:type="dcterms:W3CDTF">2026-07-02T09:48:01Z</dcterms:created>
  <dcterms:modified xsi:type="dcterms:W3CDTF">2026-07-02T10:34:11Z</dcterms:modified>
  <dc:language>en-US</dc:language>
</cp:coreProperties>
</file>